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<sst xmlns="http://schemas.openxmlformats.org/spreadsheetml/2006/main" count="113" uniqueCount="101">
  <si>
    <t>循迹小车物料清单</t>
  </si>
  <si>
    <t>序号</t>
  </si>
  <si>
    <t>名称</t>
  </si>
  <si>
    <t>规格</t>
  </si>
  <si>
    <t>数量</t>
  </si>
  <si>
    <t>链接</t>
  </si>
  <si>
    <t>金额</t>
  </si>
  <si>
    <t>1</t>
  </si>
  <si>
    <t>arduino开发板</t>
  </si>
  <si>
    <t>UNO R3 type-c接口</t>
  </si>
  <si>
    <t>https://e.tb.cn/h.7oe3ejpdyLR1YzX?tk=jZtpUgTaI9g</t>
  </si>
  <si>
    <t>2</t>
  </si>
  <si>
    <t>arduino拓展版</t>
  </si>
  <si>
    <t>UNO R3 V5</t>
  </si>
  <si>
    <t>3</t>
  </si>
  <si>
    <t>驱动板</t>
  </si>
  <si>
    <t>L298N</t>
  </si>
  <si>
    <t>https://e.tb.cn/h.7omYVdvdhqalnXX?tk=XySIUgTZiEM</t>
  </si>
  <si>
    <t>4</t>
  </si>
  <si>
    <t>蓝牙模块</t>
  </si>
  <si>
    <t>JDY-31 4针</t>
  </si>
  <si>
    <t>https://e.tb.cn/h.7Ll15vs4rhpwY5w?tk=bjVrUgT1bEh</t>
  </si>
  <si>
    <t>5</t>
  </si>
  <si>
    <t>超声波模块</t>
  </si>
  <si>
    <t>HC-SR04 3-5.5V</t>
  </si>
  <si>
    <t>https://e.tb.cn/h.7oeeb5DW9TIEsbS?tk=avOmUgTZJXg</t>
  </si>
  <si>
    <t>6</t>
  </si>
  <si>
    <t>红外传感器模块</t>
  </si>
  <si>
    <t>TCRT5000</t>
  </si>
  <si>
    <t>https://e.tb.cn/h.7oeVi1jRNQpjjm6?tk=whhsUgTYa5c</t>
  </si>
  <si>
    <t>7</t>
  </si>
  <si>
    <t>橡胶轮</t>
  </si>
  <si>
    <t>-</t>
  </si>
  <si>
    <t>8</t>
  </si>
  <si>
    <t>万向轮</t>
  </si>
  <si>
    <t>https://e.tb.cn/h.7Mpx8pUU7C9Rs3b?tk=LRbaUgTXOyy</t>
  </si>
  <si>
    <t>9</t>
  </si>
  <si>
    <t>减速电机</t>
  </si>
  <si>
    <t>公头</t>
  </si>
  <si>
    <t>https://e.tb.cn/h.7oegssoSFFr9I4G?tk=xXj5UgTd16Y</t>
  </si>
  <si>
    <t>10</t>
  </si>
  <si>
    <t>底板</t>
  </si>
  <si>
    <t>见图纸</t>
  </si>
  <si>
    <t>https://mobile.yangkeduo.com/goods.html?ps=czAttnTsyB</t>
  </si>
  <si>
    <t>11</t>
  </si>
  <si>
    <t>固定板</t>
  </si>
  <si>
    <t>12</t>
  </si>
  <si>
    <t>L型上板</t>
  </si>
  <si>
    <t>13</t>
  </si>
  <si>
    <t>L型下板</t>
  </si>
  <si>
    <t>14</t>
  </si>
  <si>
    <t>绿联充电宝</t>
  </si>
  <si>
    <t>10000mAh 22.5W</t>
  </si>
  <si>
    <t>https://3.cn/2C1-ZOYC?jkl=@P8u3lFVlPUq</t>
  </si>
  <si>
    <t>15</t>
  </si>
  <si>
    <t>usb转type-c转接头</t>
  </si>
  <si>
    <t>1.0</t>
  </si>
  <si>
    <t>https://mobile.yangkeduo.com/goods.html?ps=9vTYZ7jIpz</t>
  </si>
  <si>
    <t>16</t>
  </si>
  <si>
    <t>杜邦线</t>
  </si>
  <si>
    <t>母-母 30cm</t>
  </si>
  <si>
    <t>16/40</t>
  </si>
  <si>
    <t>https://e.tb.cn/h.7omgYg0bGJmDxuj?tk=wIY9UgT4GZb</t>
  </si>
  <si>
    <t>17</t>
  </si>
  <si>
    <t>母-母 15cm</t>
  </si>
  <si>
    <t>10/40</t>
  </si>
  <si>
    <t>公-母 15cm</t>
  </si>
  <si>
    <t>2/40</t>
  </si>
  <si>
    <t>18</t>
  </si>
  <si>
    <t>丝杆</t>
  </si>
  <si>
    <t>M3*180</t>
  </si>
  <si>
    <t>2/5</t>
  </si>
  <si>
    <t>https://e.tb.cn/h.7MK0flhzzQxLoe6?tk=GiUaUgTUq4k</t>
  </si>
  <si>
    <t>19</t>
  </si>
  <si>
    <t>双通六角铜柱</t>
  </si>
  <si>
    <t>M1.6*6</t>
  </si>
  <si>
    <t>4/2</t>
  </si>
  <si>
    <t>https://e.tb.cn/h.7oe8bp9z6sthCiL?tk=ZLRJUgTfsCg</t>
  </si>
  <si>
    <t>20</t>
  </si>
  <si>
    <t>M3*25</t>
  </si>
  <si>
    <t>4/10</t>
  </si>
  <si>
    <t>https://e.tb.cn/h.7omh1iIVnOj8INx?tk=GbdfUgTgNPI</t>
  </si>
  <si>
    <t>21</t>
  </si>
  <si>
    <t>M3*40</t>
  </si>
  <si>
    <t>22</t>
  </si>
  <si>
    <t>螺丝螺母组合</t>
  </si>
  <si>
    <t>M1.6*16</t>
  </si>
  <si>
    <t>4/20</t>
  </si>
  <si>
    <t>https://e.tb.cn/h.7tyJyoxGgUVL5LU?tk=zIdNU9NXeUR</t>
  </si>
  <si>
    <t>23</t>
  </si>
  <si>
    <t>M3*15</t>
  </si>
  <si>
    <t>10/20</t>
  </si>
  <si>
    <t>24</t>
  </si>
  <si>
    <t>25</t>
  </si>
  <si>
    <t>改锥</t>
  </si>
  <si>
    <t>十字一字各一把</t>
  </si>
  <si>
    <t>https://mobile.yangkeduo.com/goods2.html?ps=IXayI9BJiE</t>
  </si>
  <si>
    <t>26</t>
  </si>
  <si>
    <t>扳手</t>
  </si>
  <si>
    <t>4mm 开口</t>
  </si>
  <si>
    <t>https://mobile.yangkeduo.com/goods2.html?ps=IXbKj7cUFx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</si>
</sst>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2" fillId="0" borderId="2" xfId="6" applyNumberFormat="1" applyBorder="1" applyAlignment="1">
      <alignment horizontal="center" vertical="center"/>
    </xf>
    <xf numFmtId="49" fontId="3" fillId="0" borderId="2" xfId="6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2" fillId="0" borderId="4" xfId="6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2" fillId="0" borderId="6" xfId="6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3" fillId="0" borderId="4" xfId="6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2" fillId="0" borderId="1" xfId="6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3.cn/2C1-ZOYC?jkl=@P8u3lFVlPUq" TargetMode="External"/><Relationship Id="rId8" Type="http://schemas.openxmlformats.org/officeDocument/2006/relationships/hyperlink" Target="https://mobile.yangkeduo.com/goods.html?ps=czAttnTsyB" TargetMode="External"/><Relationship Id="rId7" Type="http://schemas.openxmlformats.org/officeDocument/2006/relationships/hyperlink" Target="https://e.tb.cn/h.7oegssoSFFr9I4G?tk=xXj5UgTd16Y" TargetMode="External"/><Relationship Id="rId6" Type="http://schemas.openxmlformats.org/officeDocument/2006/relationships/hyperlink" Target="https://e.tb.cn/h.7Mpx8pUU7C9Rs3b?tk=LRbaUgTXOyy" TargetMode="External"/><Relationship Id="rId5" Type="http://schemas.openxmlformats.org/officeDocument/2006/relationships/hyperlink" Target="https://e.tb.cn/h.7oeVi1jRNQpjjm6?tk=whhsUgTYa5c" TargetMode="External"/><Relationship Id="rId4" Type="http://schemas.openxmlformats.org/officeDocument/2006/relationships/hyperlink" Target="https://e.tb.cn/h.7oeeb5DW9TIEsbS?tk=avOmUgTZJXg" TargetMode="External"/><Relationship Id="rId3" Type="http://schemas.openxmlformats.org/officeDocument/2006/relationships/hyperlink" Target="https://e.tb.cn/h.7Ll15vs4rhpwY5w?tk=bjVrUgT1bEh" TargetMode="External"/><Relationship Id="rId2" Type="http://schemas.openxmlformats.org/officeDocument/2006/relationships/hyperlink" Target="https://e.tb.cn/h.7omYVdvdhqalnXX?tk=XySIUgTZiEM" TargetMode="External"/><Relationship Id="rId17" Type="http://schemas.openxmlformats.org/officeDocument/2006/relationships/hyperlink" Target="https://e.tb.cn/h.7MK0flhzzQxLoe6?tk=GiUaUgTUq4k" TargetMode="External"/><Relationship Id="rId16" Type="http://schemas.openxmlformats.org/officeDocument/2006/relationships/hyperlink" Target="https://mobile.yangkeduo.com/goods.html?ps=9vTYZ7jIpz" TargetMode="External"/><Relationship Id="rId15" Type="http://schemas.openxmlformats.org/officeDocument/2006/relationships/hyperlink" Target="https://e.tb.cn/h.7omgYg0bGJmDxuj?tk=wIY9UgT4GZb" TargetMode="External"/><Relationship Id="rId14" Type="http://schemas.openxmlformats.org/officeDocument/2006/relationships/hyperlink" Target="https://mobile.yangkeduo.com/goods2.html?ps=IXayI9BJiE" TargetMode="External"/><Relationship Id="rId13" Type="http://schemas.openxmlformats.org/officeDocument/2006/relationships/hyperlink" Target="https://mobile.yangkeduo.com/goods2.html?ps=IXbKj7cUFx" TargetMode="External"/><Relationship Id="rId12" Type="http://schemas.openxmlformats.org/officeDocument/2006/relationships/hyperlink" Target="https://e.tb.cn/h.7tyJyoxGgUVL5LU?tk=zIdNU9NXeUR" TargetMode="External"/><Relationship Id="rId11" Type="http://schemas.openxmlformats.org/officeDocument/2006/relationships/hyperlink" Target="https://e.tb.cn/h.7omh1iIVnOj8INx?tk=GbdfUgTgNPI" TargetMode="External"/><Relationship Id="rId10" Type="http://schemas.openxmlformats.org/officeDocument/2006/relationships/hyperlink" Target="https://e.tb.cn/h.7oe8bp9z6sthCiL?tk=ZLRJUgTfsCg" TargetMode="External"/><Relationship Id="rId1" Type="http://schemas.openxmlformats.org/officeDocument/2006/relationships/hyperlink" Target="https://e.tb.cn/h.7oe3ejpdyLR1YzX?tk=jZtpUgTaI9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115" zoomScaleNormal="115" topLeftCell="A4" workbookViewId="0">
      <selection activeCell="E25" sqref="E25:E27"/>
    </sheetView>
  </sheetViews>
  <sheetFormatPr defaultColWidth="8.72727272727273" defaultRowHeight="14" outlineLevelCol="6"/>
  <cols>
    <col min="1" max="1" width="5.04545454545455" style="1" customWidth="1"/>
    <col min="2" max="4" width="20.6363636363636" style="1" customWidth="1"/>
    <col min="5" max="5" width="58.9272727272727" style="1" customWidth="1"/>
    <col min="6" max="6" width="12.6363636363636" style="2" customWidth="1"/>
    <col min="7" max="16384" width="8.72727272727273" style="3"/>
  </cols>
  <sheetData>
    <row r="1" customFormat="1" ht="33" customHeight="1" spans="1:7">
      <c r="A1" s="4" t="s">
        <v>0</v>
      </c>
      <c r="B1" s="4"/>
      <c r="C1" s="4"/>
      <c r="D1" s="4"/>
      <c r="E1" s="4"/>
      <c r="F1" s="5"/>
    </row>
    <row r="2" customFormat="1" ht="18" customHeigh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</row>
    <row r="3" customFormat="1" ht="18" customHeight="1" spans="1:7">
      <c r="A3" s="6" t="s">
        <v>7</v>
      </c>
      <c r="B3" s="6" t="s">
        <v>8</v>
      </c>
      <c r="C3" s="6" t="s">
        <v>9</v>
      </c>
      <c r="D3" s="8">
        <v>1</v>
      </c>
      <c r="E3" s="9" t="s">
        <v>10</v>
      </c>
      <c r="F3" s="7">
        <v>20.75</v>
      </c>
    </row>
    <row r="4" customFormat="1" ht="18" customHeight="1" spans="1:7">
      <c r="A4" s="6" t="s">
        <v>11</v>
      </c>
      <c r="B4" s="6" t="s">
        <v>12</v>
      </c>
      <c r="C4" s="6" t="s">
        <v>13</v>
      </c>
      <c r="D4" s="8">
        <v>1</v>
      </c>
      <c r="E4" s="9" t="s">
        <v>10</v>
      </c>
      <c r="F4" s="7">
        <v>5.44</v>
      </c>
    </row>
    <row r="5" customFormat="1" ht="18" customHeight="1" spans="1:7">
      <c r="A5" s="6" t="s">
        <v>14</v>
      </c>
      <c r="B5" s="6" t="s">
        <v>15</v>
      </c>
      <c r="C5" s="6" t="s">
        <v>16</v>
      </c>
      <c r="D5" s="8">
        <v>1</v>
      </c>
      <c r="E5" s="10" t="s">
        <v>17</v>
      </c>
      <c r="F5" s="7">
        <v>7.12</v>
      </c>
    </row>
    <row r="6" customFormat="1" ht="18" customHeight="1" spans="1:7">
      <c r="A6" s="6" t="s">
        <v>18</v>
      </c>
      <c r="B6" s="6" t="s">
        <v>19</v>
      </c>
      <c r="C6" s="6" t="s">
        <v>20</v>
      </c>
      <c r="D6" s="8">
        <v>1</v>
      </c>
      <c r="E6" s="9" t="s">
        <v>21</v>
      </c>
      <c r="F6" s="7">
        <v>13.44</v>
      </c>
    </row>
    <row r="7" customFormat="1" ht="18" customHeight="1" spans="1:7">
      <c r="A7" s="6" t="s">
        <v>22</v>
      </c>
      <c r="B7" s="6" t="s">
        <v>23</v>
      </c>
      <c r="C7" s="6" t="s">
        <v>24</v>
      </c>
      <c r="D7" s="8">
        <v>1</v>
      </c>
      <c r="E7" s="9" t="s">
        <v>25</v>
      </c>
      <c r="F7" s="7">
        <v>4.21</v>
      </c>
    </row>
    <row r="8" customFormat="1" ht="18" customHeight="1" spans="1:7">
      <c r="A8" s="6" t="s">
        <v>26</v>
      </c>
      <c r="B8" s="6" t="s">
        <v>27</v>
      </c>
      <c r="C8" s="6" t="s">
        <v>28</v>
      </c>
      <c r="D8" s="8">
        <v>4</v>
      </c>
      <c r="E8" s="10" t="s">
        <v>29</v>
      </c>
      <c r="F8" s="7">
        <v>11.44</v>
      </c>
    </row>
    <row r="9" customFormat="1" ht="18" customHeight="1" spans="1:7">
      <c r="A9" s="6" t="s">
        <v>30</v>
      </c>
      <c r="B9" s="6" t="s">
        <v>31</v>
      </c>
      <c r="C9" s="6" t="s">
        <v>32</v>
      </c>
      <c r="D9" s="8">
        <v>2</v>
      </c>
      <c r="E9" s="10" t="s">
        <v>29</v>
      </c>
      <c r="F9" s="7">
        <v>4.48</v>
      </c>
    </row>
    <row r="10" customFormat="1" ht="18" customHeight="1" spans="1:7">
      <c r="A10" s="6" t="s">
        <v>33</v>
      </c>
      <c r="B10" s="6" t="s">
        <v>34</v>
      </c>
      <c r="C10" s="6" t="s">
        <v>32</v>
      </c>
      <c r="D10" s="8" t="s">
        <v>7</v>
      </c>
      <c r="E10" s="9" t="s">
        <v>35</v>
      </c>
      <c r="F10" s="7">
        <v>3.4</v>
      </c>
    </row>
    <row r="11" customFormat="1" ht="18" customHeight="1" spans="1:7">
      <c r="A11" s="6" t="s">
        <v>36</v>
      </c>
      <c r="B11" s="6" t="s">
        <v>37</v>
      </c>
      <c r="C11" s="6" t="s">
        <v>38</v>
      </c>
      <c r="D11" s="8">
        <v>2</v>
      </c>
      <c r="E11" s="10" t="s">
        <v>39</v>
      </c>
      <c r="F11" s="7">
        <v>6.79</v>
      </c>
      <c r="G11" s="11">
        <f>SUM(F3,F4,F5,F6,F7,F8,F9,F10,F11)</f>
        <v>77.07</v>
      </c>
    </row>
    <row r="12" customFormat="1" ht="18" customHeight="1" spans="1:7">
      <c r="A12" s="6" t="s">
        <v>40</v>
      </c>
      <c r="B12" s="6" t="s">
        <v>41</v>
      </c>
      <c r="C12" s="6" t="s">
        <v>42</v>
      </c>
      <c r="D12" s="8">
        <v>2</v>
      </c>
      <c r="E12" s="9" t="s">
        <v>43</v>
      </c>
      <c r="F12" s="12">
        <v>60</v>
      </c>
    </row>
    <row r="13" customFormat="1" ht="18" customHeight="1" spans="1:7">
      <c r="A13" s="6" t="s">
        <v>44</v>
      </c>
      <c r="B13" s="6" t="s">
        <v>45</v>
      </c>
      <c r="C13" s="6" t="s">
        <v>42</v>
      </c>
      <c r="D13" s="8">
        <v>2</v>
      </c>
      <c r="E13" s="9"/>
      <c r="F13" s="12"/>
    </row>
    <row r="14" customFormat="1" ht="18" customHeight="1" spans="1:7">
      <c r="A14" s="6" t="s">
        <v>46</v>
      </c>
      <c r="B14" s="6" t="s">
        <v>47</v>
      </c>
      <c r="C14" s="6" t="s">
        <v>42</v>
      </c>
      <c r="D14" s="8">
        <v>1</v>
      </c>
      <c r="E14" s="9"/>
      <c r="F14" s="12"/>
    </row>
    <row r="15" customFormat="1" ht="18" customHeight="1" spans="1:7">
      <c r="A15" s="6" t="s">
        <v>48</v>
      </c>
      <c r="B15" s="6" t="s">
        <v>49</v>
      </c>
      <c r="C15" s="6" t="s">
        <v>42</v>
      </c>
      <c r="D15" s="8">
        <v>1</v>
      </c>
      <c r="E15" s="9"/>
      <c r="F15" s="12"/>
    </row>
    <row r="16" customFormat="1" ht="18" customHeight="1" spans="1:7">
      <c r="A16" s="6" t="s">
        <v>50</v>
      </c>
      <c r="B16" s="6" t="s">
        <v>51</v>
      </c>
      <c r="C16" s="6" t="s">
        <v>52</v>
      </c>
      <c r="D16" s="8">
        <v>1</v>
      </c>
      <c r="E16" s="9" t="s">
        <v>53</v>
      </c>
      <c r="F16" s="12">
        <v>56.32</v>
      </c>
    </row>
    <row r="17" customFormat="1" ht="18" customHeight="1" spans="1:6">
      <c r="A17" s="6" t="s">
        <v>54</v>
      </c>
      <c r="B17" s="6" t="s">
        <v>55</v>
      </c>
      <c r="C17" s="6" t="s">
        <v>56</v>
      </c>
      <c r="D17" s="8">
        <v>1</v>
      </c>
      <c r="E17" s="9" t="s">
        <v>57</v>
      </c>
      <c r="F17" s="7">
        <v>2.71</v>
      </c>
    </row>
    <row r="18" customFormat="1" ht="18" customHeight="1" spans="1:6">
      <c r="A18" s="6" t="s">
        <v>58</v>
      </c>
      <c r="B18" s="13" t="s">
        <v>59</v>
      </c>
      <c r="C18" s="6" t="s">
        <v>60</v>
      </c>
      <c r="D18" s="8" t="s">
        <v>61</v>
      </c>
      <c r="E18" s="14" t="s">
        <v>62</v>
      </c>
      <c r="F18" s="7">
        <v>3.5</v>
      </c>
    </row>
    <row r="19" customFormat="1" ht="18" customHeight="1" spans="1:6">
      <c r="A19" s="6" t="s">
        <v>63</v>
      </c>
      <c r="B19" s="15"/>
      <c r="C19" s="6" t="s">
        <v>64</v>
      </c>
      <c r="D19" s="8" t="s">
        <v>65</v>
      </c>
      <c r="E19" s="16"/>
      <c r="F19" s="7">
        <v>1.71</v>
      </c>
    </row>
    <row r="20" customFormat="1" ht="18" customHeight="1" spans="1:6">
      <c r="A20" s="6"/>
      <c r="B20" s="17"/>
      <c r="C20" s="6" t="s">
        <v>66</v>
      </c>
      <c r="D20" s="8" t="s">
        <v>67</v>
      </c>
      <c r="E20" s="16"/>
      <c r="F20" s="7">
        <v>1.71</v>
      </c>
    </row>
    <row r="21" customFormat="1" ht="18" customHeight="1" spans="1:6">
      <c r="A21" s="6" t="s">
        <v>68</v>
      </c>
      <c r="B21" s="6" t="s">
        <v>69</v>
      </c>
      <c r="C21" s="6" t="s">
        <v>70</v>
      </c>
      <c r="D21" s="8" t="s">
        <v>71</v>
      </c>
      <c r="E21" s="9" t="s">
        <v>72</v>
      </c>
      <c r="F21" s="7">
        <v>3.26</v>
      </c>
    </row>
    <row r="22" customFormat="1" ht="18" customHeight="1" spans="1:6">
      <c r="A22" s="6" t="s">
        <v>73</v>
      </c>
      <c r="B22" s="13" t="s">
        <v>74</v>
      </c>
      <c r="C22" s="6" t="s">
        <v>75</v>
      </c>
      <c r="D22" s="8" t="s">
        <v>76</v>
      </c>
      <c r="E22" s="9" t="s">
        <v>77</v>
      </c>
      <c r="F22" s="7">
        <v>2.26</v>
      </c>
    </row>
    <row r="23" customFormat="1" ht="18" customHeight="1" spans="1:6">
      <c r="A23" s="6" t="s">
        <v>78</v>
      </c>
      <c r="B23" s="15"/>
      <c r="C23" s="6" t="s">
        <v>79</v>
      </c>
      <c r="D23" s="8" t="s">
        <v>80</v>
      </c>
      <c r="E23" s="18" t="s">
        <v>81</v>
      </c>
      <c r="F23" s="7">
        <v>1.99</v>
      </c>
    </row>
    <row r="24" customFormat="1" ht="18" customHeight="1" spans="1:6">
      <c r="A24" s="6" t="s">
        <v>82</v>
      </c>
      <c r="B24" s="17"/>
      <c r="C24" s="6" t="s">
        <v>83</v>
      </c>
      <c r="D24" s="8" t="s">
        <v>80</v>
      </c>
      <c r="E24" s="19"/>
      <c r="F24" s="7">
        <v>4.1</v>
      </c>
    </row>
    <row r="25" customFormat="1" ht="18" customHeight="1" spans="1:6">
      <c r="A25" s="6" t="s">
        <v>84</v>
      </c>
      <c r="B25" s="13" t="s">
        <v>85</v>
      </c>
      <c r="C25" s="6" t="s">
        <v>86</v>
      </c>
      <c r="D25" s="8" t="s">
        <v>87</v>
      </c>
      <c r="E25" s="18" t="s">
        <v>88</v>
      </c>
      <c r="F25" s="7">
        <v>1.8</v>
      </c>
    </row>
    <row r="26" customFormat="1" ht="18" customHeight="1" spans="1:6">
      <c r="A26" s="6" t="s">
        <v>89</v>
      </c>
      <c r="B26" s="15"/>
      <c r="C26" s="6" t="s">
        <v>90</v>
      </c>
      <c r="D26" s="8" t="s">
        <v>91</v>
      </c>
      <c r="E26" s="20"/>
      <c r="F26" s="7">
        <v>1.3</v>
      </c>
    </row>
    <row r="27" customFormat="1" ht="18" customHeight="1" spans="1:6">
      <c r="A27" s="6" t="s">
        <v>92</v>
      </c>
      <c r="B27" s="17"/>
      <c r="C27" s="6" t="s">
        <v>83</v>
      </c>
      <c r="D27" s="8" t="s">
        <v>87</v>
      </c>
      <c r="E27" s="19"/>
      <c r="F27" s="7">
        <v>1.59</v>
      </c>
    </row>
    <row r="28" customFormat="1" ht="18" customHeight="1" spans="1:6">
      <c r="A28" s="6" t="s">
        <v>93</v>
      </c>
      <c r="B28" s="6" t="s">
        <v>94</v>
      </c>
      <c r="C28" s="6" t="s">
        <v>95</v>
      </c>
      <c r="D28" s="8" t="s">
        <v>7</v>
      </c>
      <c r="E28" s="9" t="s">
        <v>96</v>
      </c>
      <c r="F28" s="7">
        <v>1.84</v>
      </c>
    </row>
    <row r="29" customFormat="1" ht="18" customHeight="1" spans="1:6">
      <c r="A29" s="6" t="s">
        <v>97</v>
      </c>
      <c r="B29" s="6" t="s">
        <v>98</v>
      </c>
      <c r="C29" s="6" t="s">
        <v>99</v>
      </c>
      <c r="D29" s="6" t="s">
        <v>7</v>
      </c>
      <c r="E29" s="21" t="s">
        <v>100</v>
      </c>
      <c r="F29" s="7">
        <v>3.43</v>
      </c>
    </row>
    <row r="30" customFormat="1" ht="18" customHeight="1" spans="1:6">
      <c r="A30" s="1"/>
      <c r="B30" s="1"/>
      <c r="C30" s="1"/>
      <c r="D30" s="1"/>
      <c r="E30" s="1"/>
      <c r="F30" s="7">
        <f>SUM(F3:F29)</f>
        <v>224.59</v>
      </c>
    </row>
  </sheetData>
  <mergeCells count="9">
    <mergeCell ref="A1:F1"/>
    <mergeCell ref="B18:B20"/>
    <mergeCell ref="B22:B24"/>
    <mergeCell ref="B25:B27"/>
    <mergeCell ref="E12:E15"/>
    <mergeCell ref="E18:E20"/>
    <mergeCell ref="E23:E24"/>
    <mergeCell ref="E25:E27"/>
    <mergeCell ref="F12:F15"/>
  </mergeCells>
  <hyperlinks>
    <hyperlink ref="E4" r:id="rId1" display="https://e.tb.cn/h.7oe3ejpdyLR1YzX?tk=jZtpUgTaI9g"/>
    <hyperlink ref="E3" r:id="rId1" display="https://e.tb.cn/h.7oe3ejpdyLR1YzX?tk=jZtpUgTaI9g"/>
    <hyperlink ref="E5" r:id="rId2" display="https://e.tb.cn/h.7omYVdvdhqalnXX?tk=XySIUgTZiEM" tooltip="https://e.tb.cn/h.7omYVdvdhqalnXX?tk=XySIUgTZiEM"/>
    <hyperlink ref="E6" r:id="rId3" display="https://e.tb.cn/h.7Ll15vs4rhpwY5w?tk=bjVrUgT1bEh"/>
    <hyperlink ref="E7" r:id="rId4" display="https://e.tb.cn/h.7oeeb5DW9TIEsbS?tk=avOmUgTZJXg"/>
    <hyperlink ref="E8" r:id="rId5" display="https://e.tb.cn/h.7oeVi1jRNQpjjm6?tk=whhsUgTYa5c"/>
    <hyperlink ref="E9" r:id="rId5" display="https://e.tb.cn/h.7oeVi1jRNQpjjm6?tk=whhsUgTYa5c"/>
    <hyperlink ref="E10" r:id="rId6" display="https://e.tb.cn/h.7Mpx8pUU7C9Rs3b?tk=LRbaUgTXOyy"/>
    <hyperlink ref="E11" r:id="rId7" display="https://e.tb.cn/h.7oegssoSFFr9I4G?tk=xXj5UgTd16Y"/>
    <hyperlink ref="E12" r:id="rId8" display="https://mobile.yangkeduo.com/goods.html?ps=czAttnTsyB"/>
    <hyperlink ref="E16" r:id="rId9" display="https://3.cn/2C1-ZOYC?jkl=@P8u3lFVlPUq"/>
    <hyperlink ref="E22" r:id="rId10" display="https://e.tb.cn/h.7oe8bp9z6sthCiL?tk=ZLRJUgTfsCg"/>
    <hyperlink ref="E23" r:id="rId11" display="https://e.tb.cn/h.7omh1iIVnOj8INx?tk=GbdfUgTgNPI" tooltip="https://e.tb.cn/h.7omh1iIVnOj8INx?tk=GbdfUgTgNPI"/>
    <hyperlink ref="E25" r:id="rId12" display="https://e.tb.cn/h.7tyJyoxGgUVL5LU?tk=zIdNU9NXeUR" tooltip="https://e.tb.cn/h.7tyJyoxGgUVL5LU?tk=zIdNU9NXeUR"/>
    <hyperlink ref="E29" r:id="rId13" display="https://mobile.yangkeduo.com/goods2.html?ps=IXbKj7cUFx"/>
    <hyperlink ref="E28" r:id="rId14" display="https://mobile.yangkeduo.com/goods2.html?ps=IXayI9BJiE"/>
    <hyperlink ref="E18" r:id="rId15" display="https://e.tb.cn/h.7omgYg0bGJmDxuj?tk=wIY9UgT4GZb"/>
    <hyperlink ref="E17" r:id="rId16" display="https://mobile.yangkeduo.com/goods.html?ps=9vTYZ7jIpz"/>
    <hyperlink ref="E21" r:id="rId17" display="https://e.tb.cn/h.7MK0flhzzQxLoe6?tk=GiUaUgTUq4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mabin</dc:creator>
  <cp:lastModifiedBy>王磊</cp:lastModifiedBy>
  <dcterms:created xsi:type="dcterms:W3CDTF">2026-01-22T04:48:00Z</dcterms:created>
  <dcterms:modified xsi:type="dcterms:W3CDTF">2026-02-06T12:59:11Z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9289925F49F848669E25954C818DB4DA_11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